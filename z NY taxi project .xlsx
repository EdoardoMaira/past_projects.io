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ardomaira/Desktop/"/>
    </mc:Choice>
  </mc:AlternateContent>
  <xr:revisionPtr revIDLastSave="0" documentId="8_{93E0DC6E-BA99-FB42-A0FC-77978D32C7B9}" xr6:coauthVersionLast="47" xr6:coauthVersionMax="47" xr10:uidLastSave="{00000000-0000-0000-0000-000000000000}"/>
  <bookViews>
    <workbookView xWindow="0" yWindow="680" windowWidth="34200" windowHeight="21460" xr2:uid="{1E3AD8D1-F869-2C4A-BC84-DEEA2035FDD3}"/>
  </bookViews>
  <sheets>
    <sheet name="Sheet1" sheetId="1" r:id="rId1"/>
    <sheet name="Sheet4" sheetId="4" r:id="rId2"/>
  </sheets>
  <calcPr calcId="18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<sst xmlns="http://schemas.openxmlformats.org/spreadsheetml/2006/main" count="67" uniqueCount="52">
  <si>
    <t>hour_of_day</t>
  </si>
  <si>
    <t>num_trips</t>
  </si>
  <si>
    <t>avg_distance</t>
  </si>
  <si>
    <t>month</t>
  </si>
  <si>
    <t>prev_month_trips</t>
  </si>
  <si>
    <t>mom_growth_pct</t>
  </si>
  <si>
    <t>NULL</t>
  </si>
  <si>
    <t>-0.15</t>
  </si>
  <si>
    <t>11.64</t>
  </si>
  <si>
    <t>-1.59</t>
  </si>
  <si>
    <t>6.86</t>
  </si>
  <si>
    <t>-5.82</t>
  </si>
  <si>
    <t>-10.76</t>
  </si>
  <si>
    <t>-2.96</t>
  </si>
  <si>
    <t>16.16</t>
  </si>
  <si>
    <t>9.18</t>
  </si>
  <si>
    <t>-4.69</t>
  </si>
  <si>
    <t>1.69</t>
  </si>
  <si>
    <t>Row Labels</t>
  </si>
  <si>
    <t>Grand Total</t>
  </si>
  <si>
    <t>payment_type</t>
  </si>
  <si>
    <t>avg_fare</t>
  </si>
  <si>
    <t>avg_tip</t>
  </si>
  <si>
    <t>avg_total</t>
  </si>
  <si>
    <t>avg_tip_pct</t>
  </si>
  <si>
    <t>Sum of num_trips</t>
  </si>
  <si>
    <t>Zone</t>
  </si>
  <si>
    <t>Borough</t>
  </si>
  <si>
    <t>JFK Airport</t>
  </si>
  <si>
    <t>Queens</t>
  </si>
  <si>
    <t>Upper East Side South</t>
  </si>
  <si>
    <t>Manhattan</t>
  </si>
  <si>
    <t>Midtown Center</t>
  </si>
  <si>
    <t>Upper East Side North</t>
  </si>
  <si>
    <t>Midtown East</t>
  </si>
  <si>
    <t>Penn Station/Madison Sq West</t>
  </si>
  <si>
    <t>Times Sq/Theatre District</t>
  </si>
  <si>
    <t>LaGuardia Airport</t>
  </si>
  <si>
    <t>Lincoln Square East</t>
  </si>
  <si>
    <t>Midtown North</t>
  </si>
  <si>
    <t>pct</t>
  </si>
  <si>
    <t>Brooklyn</t>
  </si>
  <si>
    <t>Unknown</t>
  </si>
  <si>
    <t>Bronx</t>
  </si>
  <si>
    <t>N/A</t>
  </si>
  <si>
    <t>EWR</t>
  </si>
  <si>
    <t>Staten Island</t>
  </si>
  <si>
    <t>Cash</t>
  </si>
  <si>
    <t>Credit card</t>
  </si>
  <si>
    <t>No charge</t>
  </si>
  <si>
    <t>Dispute</t>
  </si>
  <si>
    <t>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</si>
</sst>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T" sz="1400" b="0" i="0" u="none" strike="noStrike" baseline="0">
                <a:effectLst/>
              </a:rPr>
              <a:t>Demand peaks at 6pm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num_trips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Sheet1!$B$3:$B$26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Sheet1!$C$3:$C$26</c:f>
              <c:numCache>
                <c:formatCode>General</c:formatCode>
                <c:ptCount val="24"/>
                <c:pt idx="0">
                  <c:v>955228</c:v>
                </c:pt>
                <c:pt idx="1">
                  <c:v>624560</c:v>
                </c:pt>
                <c:pt idx="2">
                  <c:v>406150</c:v>
                </c:pt>
                <c:pt idx="3">
                  <c:v>260192</c:v>
                </c:pt>
                <c:pt idx="4">
                  <c:v>166992</c:v>
                </c:pt>
                <c:pt idx="5">
                  <c:v>196286</c:v>
                </c:pt>
                <c:pt idx="6">
                  <c:v>458928</c:v>
                </c:pt>
                <c:pt idx="7">
                  <c:v>927607</c:v>
                </c:pt>
                <c:pt idx="8">
                  <c:v>1302020</c:v>
                </c:pt>
                <c:pt idx="9">
                  <c:v>1508857</c:v>
                </c:pt>
                <c:pt idx="10">
                  <c:v>1664578</c:v>
                </c:pt>
                <c:pt idx="11">
                  <c:v>1807500</c:v>
                </c:pt>
                <c:pt idx="12">
                  <c:v>1961437</c:v>
                </c:pt>
                <c:pt idx="13">
                  <c:v>2033903</c:v>
                </c:pt>
                <c:pt idx="14">
                  <c:v>2183976</c:v>
                </c:pt>
                <c:pt idx="15">
                  <c:v>2251369</c:v>
                </c:pt>
                <c:pt idx="16">
                  <c:v>2284810</c:v>
                </c:pt>
                <c:pt idx="17">
                  <c:v>2457232</c:v>
                </c:pt>
                <c:pt idx="18">
                  <c:v>2557789</c:v>
                </c:pt>
                <c:pt idx="19">
                  <c:v>2255054</c:v>
                </c:pt>
                <c:pt idx="20">
                  <c:v>2045007</c:v>
                </c:pt>
                <c:pt idx="21">
                  <c:v>2068342</c:v>
                </c:pt>
                <c:pt idx="22">
                  <c:v>1859290</c:v>
                </c:pt>
                <c:pt idx="23">
                  <c:v>1399224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27-2C49-AD8C-9BD578CAF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440767"/>
        <c:axId val="715253375"/>
      </c:lineChart>
      <c:catAx>
        <c:axId val="70144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715253375"/>
        <c:crosses val="autoZero"/>
        <c:auto val="1"/>
        <c:lblAlgn val="ctr"/>
        <c:lblOffset val="100"/>
        <c:noMultiLvlLbl val="0"/>
      </c:catAx>
      <c:valAx>
        <c:axId val="71525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70144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T" sz="1400" b="0" i="0" u="none" strike="noStrike" baseline="0">
                <a:effectLst/>
              </a:rPr>
              <a:t>Monthly trip volume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Sheet1!$C$30</c:f>
              <c:strCache>
                <c:ptCount val="1"/>
                <c:pt idx="0">
                  <c:v>num_trips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Sheet1!$B$31:$B$42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Sheet1!$C$31:$C$42</c:f>
              <c:numCache>
                <c:formatCode>General</c:formatCode>
                <c:ptCount val="12"/>
                <c:pt idx="0">
                  <c:v>2724208</c:v>
                </c:pt>
                <c:pt idx="1">
                  <c:v>2720038</c:v>
                </c:pt>
                <c:pt idx="2">
                  <c:v>3036608</c:v>
                </c:pt>
                <c:pt idx="3">
                  <c:v>2988310</c:v>
                </c:pt>
                <c:pt idx="4">
                  <c:v>3193314</c:v>
                </c:pt>
                <c:pt idx="5">
                  <c:v>3007322</c:v>
                </c:pt>
                <c:pt idx="6">
                  <c:v>2683801</c:v>
                </c:pt>
                <c:pt idx="7">
                  <c:v>2604494</c:v>
                </c:pt>
                <c:pt idx="8">
                  <c:v>3025284</c:v>
                </c:pt>
                <c:pt idx="9">
                  <c:v>3303050</c:v>
                </c:pt>
                <c:pt idx="10">
                  <c:v>3148301</c:v>
                </c:pt>
                <c:pt idx="11">
                  <c:v>3201601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5-E24F-AE4E-A9623D44B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112319"/>
        <c:axId val="716117247"/>
      </c:barChart>
      <c:catAx>
        <c:axId val="71611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716117247"/>
        <c:crosses val="autoZero"/>
        <c:auto val="1"/>
        <c:lblAlgn val="ctr"/>
        <c:lblOffset val="100"/>
        <c:noMultiLvlLbl val="0"/>
      </c:catAx>
      <c:valAx>
        <c:axId val="71611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71611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T" sz="1400" b="0" i="1" u="none" strike="noStrike" baseline="0">
                <a:effectLst/>
              </a:rPr>
              <a:t>Average tip by payment method</a:t>
            </a:r>
            <a:r>
              <a:rPr lang="en-IT" sz="1400" b="0" i="0" u="none" strike="noStrike" baseline="0">
                <a:effectLst/>
              </a:rPr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>
        <c:manualLayout>
          <c:layoutTarget val="inner"/>
          <c:xMode val="edge"/>
          <c:yMode val="edge"/>
          <c:x val="5.0680411936459752E-2"/>
          <c:y val="0.16271302720823261"/>
          <c:w val="0.90648156932190704"/>
          <c:h val="0.6709765338738598"/>
        </c:manualLayout>
      </c:layout>
      <c:barChart>
        <c:barDir val="col"/>
        <c:grouping val="clustered"/>
        <c:varyColors val="0"/>
        <c:ser>
          <c:idx val="0"/>
          <c:order val="0"/>
          <c:tx>
            <c:v>Credit card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Sheet1!$D$45:$G$45</c:f>
              <c:strCache>
                <c:ptCount val="4"/>
                <c:pt idx="0">
                  <c:v>avg_fare</c:v>
                </c:pt>
                <c:pt idx="1">
                  <c:v>avg_tip</c:v>
                </c:pt>
                <c:pt idx="2">
                  <c:v>avg_total</c:v>
                </c:pt>
                <c:pt idx="3">
                  <c:v>avg_tip_pct</c:v>
                </c:pt>
              </c:strCache>
            </c:strRef>
          </c:cat>
          <c:val>
            <c:numRef>
              <c:f>Sheet1!$D$46:$G$46</c:f>
              <c:numCache>
                <c:formatCode>General</c:formatCode>
                <c:ptCount val="4"/>
                <c:pt idx="0">
                  <c:v>19.75</c:v>
                </c:pt>
                <c:pt idx="1">
                  <c:v>4.3600000000000003</c:v>
                </c:pt>
                <c:pt idx="2">
                  <c:v>29.76</c:v>
                </c:pt>
                <c:pt idx="3">
                  <c:v>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6-9A4E-8C35-E43785BBEE5D}"/>
            </c:ext>
          </c:extLst>
        </c:ser>
        <c:ser>
          <c:idx val="1"/>
          <c:order val="1"/>
          <c:tx>
            <c:v>Cash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Sheet1!$D$45:$G$45</c:f>
              <c:strCache>
                <c:ptCount val="4"/>
                <c:pt idx="0">
                  <c:v>avg_fare</c:v>
                </c:pt>
                <c:pt idx="1">
                  <c:v>avg_tip</c:v>
                </c:pt>
                <c:pt idx="2">
                  <c:v>avg_total</c:v>
                </c:pt>
                <c:pt idx="3">
                  <c:v>avg_tip_pct</c:v>
                </c:pt>
              </c:strCache>
            </c:strRef>
          </c:cat>
          <c:val>
            <c:numRef>
              <c:f>Sheet1!$D$47:$G$47</c:f>
              <c:numCache>
                <c:formatCode>General</c:formatCode>
                <c:ptCount val="4"/>
                <c:pt idx="0">
                  <c:v>19.649999999999999</c:v>
                </c:pt>
                <c:pt idx="1">
                  <c:v>0</c:v>
                </c:pt>
                <c:pt idx="2">
                  <c:v>24.97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86-9A4E-8C35-E43785BBEE5D}"/>
            </c:ext>
          </c:extLst>
        </c:ser>
        <c:ser>
          <c:idx val="2"/>
          <c:order val="2"/>
          <c:tx>
            <c:v>No charge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Sheet1!$D$45:$G$45</c:f>
              <c:strCache>
                <c:ptCount val="4"/>
                <c:pt idx="0">
                  <c:v>avg_fare</c:v>
                </c:pt>
                <c:pt idx="1">
                  <c:v>avg_tip</c:v>
                </c:pt>
                <c:pt idx="2">
                  <c:v>avg_total</c:v>
                </c:pt>
                <c:pt idx="3">
                  <c:v>avg_tip_pct</c:v>
                </c:pt>
              </c:strCache>
            </c:strRef>
          </c:cat>
          <c:val>
            <c:numRef>
              <c:f>Sheet1!$D$48:$G$48</c:f>
              <c:numCache>
                <c:formatCode>General</c:formatCode>
                <c:ptCount val="4"/>
                <c:pt idx="0">
                  <c:v>22.3</c:v>
                </c:pt>
                <c:pt idx="1">
                  <c:v>0.01</c:v>
                </c:pt>
                <c:pt idx="2">
                  <c:v>27.95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86-9A4E-8C35-E43785BBEE5D}"/>
            </c:ext>
          </c:extLst>
        </c:ser>
        <c:ser>
          <c:idx val="3"/>
          <c:order val="3"/>
          <c:tx>
            <c:v>Dispute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Sheet1!$D$45:$G$45</c:f>
              <c:strCache>
                <c:ptCount val="4"/>
                <c:pt idx="0">
                  <c:v>avg_fare</c:v>
                </c:pt>
                <c:pt idx="1">
                  <c:v>avg_tip</c:v>
                </c:pt>
                <c:pt idx="2">
                  <c:v>avg_total</c:v>
                </c:pt>
                <c:pt idx="3">
                  <c:v>avg_tip_pct</c:v>
                </c:pt>
              </c:strCache>
            </c:strRef>
          </c:cat>
          <c:val>
            <c:numRef>
              <c:f>Sheet1!$D$49:$G$49</c:f>
              <c:numCache>
                <c:formatCode>General</c:formatCode>
                <c:ptCount val="4"/>
                <c:pt idx="0">
                  <c:v>22.15</c:v>
                </c:pt>
                <c:pt idx="1">
                  <c:v>0.01</c:v>
                </c:pt>
                <c:pt idx="2">
                  <c:v>27.48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86-9A4E-8C35-E43785BBE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0172159"/>
        <c:axId val="300182015"/>
      </c:barChart>
      <c:catAx>
        <c:axId val="30017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300182015"/>
        <c:crosses val="autoZero"/>
        <c:auto val="1"/>
        <c:lblAlgn val="ctr"/>
        <c:lblOffset val="100"/>
        <c:noMultiLvlLbl val="0"/>
      </c:catAx>
      <c:valAx>
        <c:axId val="30018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30017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 taxi project .xlsx]Sheet4!PivotTable3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Sheet4!$A$2:$A$6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Sheet4!$B$2:$B$6</c:f>
              <c:numCache>
                <c:formatCode>General</c:formatCode>
                <c:ptCount val="4"/>
                <c:pt idx="0">
                  <c:v>29875818</c:v>
                </c:pt>
                <c:pt idx="1">
                  <c:v>5219199</c:v>
                </c:pt>
                <c:pt idx="2">
                  <c:v>149721</c:v>
                </c:pt>
                <c:pt idx="3">
                  <c:v>384317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4-1547-B141-7E9EF73AA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7067967"/>
        <c:axId val="365022719"/>
      </c:barChart>
      <c:catAx>
        <c:axId val="68706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365022719"/>
        <c:crosses val="autoZero"/>
        <c:auto val="1"/>
        <c:lblAlgn val="ctr"/>
        <c:lblOffset val="100"/>
        <c:noMultiLvlLbl val="0"/>
      </c:catAx>
      <c:valAx>
        <c:axId val="36502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68706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T" sz="1400" b="0" i="0" u="none" strike="noStrike" baseline="0">
                <a:effectLst/>
              </a:rPr>
              <a:t>JFK is the single busiest pickup zone in NYC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Sheet1!$D$54</c:f>
              <c:strCache>
                <c:ptCount val="1"/>
                <c:pt idx="0">
                  <c:v>num_trips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Sheet1!$B$55:$C$64</c15:sqref>
                  </c15:fullRef>
                  <c15:levelRef>
                    <c15:sqref>Sheet1!$B$55:$B$64</c15:sqref>
                  </c15:levelRef>
                </c:ext>
              </c:extLst>
              <c:f>Sheet1!$B$55:$B$64</c:f>
              <c:strCache>
                <c:ptCount val="10"/>
                <c:pt idx="0">
                  <c:v>JFK Airport</c:v>
                </c:pt>
                <c:pt idx="1">
                  <c:v>Upper East Side South</c:v>
                </c:pt>
                <c:pt idx="2">
                  <c:v>Midtown Center</c:v>
                </c:pt>
                <c:pt idx="3">
                  <c:v>Upper East Side North</c:v>
                </c:pt>
                <c:pt idx="4">
                  <c:v>Midtown East</c:v>
                </c:pt>
                <c:pt idx="5">
                  <c:v>Penn Station/Madison Sq West</c:v>
                </c:pt>
                <c:pt idx="6">
                  <c:v>Times Sq/Theatre District</c:v>
                </c:pt>
                <c:pt idx="7">
                  <c:v>LaGuardia Airport</c:v>
                </c:pt>
                <c:pt idx="8">
                  <c:v>Lincoln Square East</c:v>
                </c:pt>
                <c:pt idx="9">
                  <c:v>Midtown North</c:v>
                </c:pt>
              </c:strCache>
            </c:strRef>
          </c:cat>
          <c:val>
            <c:numRef>
              <c:f>Sheet1!$D$55:$D$64</c:f>
              <c:numCache>
                <c:formatCode>General</c:formatCode>
                <c:ptCount val="10"/>
                <c:pt idx="0">
                  <c:v>1857707</c:v>
                </c:pt>
                <c:pt idx="1">
                  <c:v>1767053</c:v>
                </c:pt>
                <c:pt idx="2">
                  <c:v>1737998</c:v>
                </c:pt>
                <c:pt idx="3">
                  <c:v>1557939</c:v>
                </c:pt>
                <c:pt idx="4">
                  <c:v>1310167</c:v>
                </c:pt>
                <c:pt idx="5">
                  <c:v>1269556</c:v>
                </c:pt>
                <c:pt idx="6">
                  <c:v>1251091</c:v>
                </c:pt>
                <c:pt idx="7">
                  <c:v>1245714</c:v>
                </c:pt>
                <c:pt idx="8">
                  <c:v>1182879</c:v>
                </c:pt>
                <c:pt idx="9">
                  <c:v>1063503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2-5D46-988F-BDB5D97A4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5251135"/>
        <c:axId val="715252479"/>
      </c:barChart>
      <c:catAx>
        <c:axId val="715251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715252479"/>
        <c:crosses val="autoZero"/>
        <c:auto val="1"/>
        <c:lblAlgn val="ctr"/>
        <c:lblOffset val="100"/>
        <c:noMultiLvlLbl val="0"/>
      </c:catAx>
      <c:valAx>
        <c:axId val="71525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71525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 sz="1400" b="0" i="1" u="none" strike="noStrike" baseline="0">
              <a:effectLst/>
            </a:endParaRPr>
          </a:p>
          <a:p>
            <a:pPr>
              <a:defRPr/>
            </a:pPr>
            <a:r>
              <a:rPr lang="en-IT" sz="1400" b="0" i="1" u="none" strike="noStrike" baseline="0">
                <a:effectLst/>
              </a:rPr>
              <a:t>Pickup distribution by borough</a:t>
            </a:r>
            <a:r>
              <a:rPr lang="en-IT" sz="1400" b="0" i="0" u="none" strike="noStrike" baseline="0">
                <a:effectLst/>
              </a:rPr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Sheet1!$B$68:$B$75</c:f>
              <c:strCache>
                <c:ptCount val="8"/>
                <c:pt idx="0">
                  <c:v>Manhattan</c:v>
                </c:pt>
                <c:pt idx="1">
                  <c:v>Queens</c:v>
                </c:pt>
                <c:pt idx="2">
                  <c:v>Brooklyn</c:v>
                </c:pt>
                <c:pt idx="3">
                  <c:v>Unknown</c:v>
                </c:pt>
                <c:pt idx="4">
                  <c:v>Bronx</c:v>
                </c:pt>
                <c:pt idx="5">
                  <c:v>N/A</c:v>
                </c:pt>
                <c:pt idx="6">
                  <c:v>EWR</c:v>
                </c:pt>
                <c:pt idx="7">
                  <c:v>Staten Island</c:v>
                </c:pt>
              </c:strCache>
            </c:strRef>
          </c:cat>
          <c:val>
            <c:numRef>
              <c:f>Sheet1!$C$68:$C$75</c:f>
              <c:numCache>
                <c:formatCode>General</c:formatCode>
                <c:ptCount val="8"/>
                <c:pt idx="0">
                  <c:v>88.86</c:v>
                </c:pt>
                <c:pt idx="1">
                  <c:v>9.7899999999999991</c:v>
                </c:pt>
                <c:pt idx="2">
                  <c:v>0.84</c:v>
                </c:pt>
                <c:pt idx="3">
                  <c:v>0.3</c:v>
                </c:pt>
                <c:pt idx="4">
                  <c:v>0.19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A-2948-B86F-68B4E6A0A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T" sz="1400" b="0" i="1" u="none" strike="noStrike" baseline="0">
                <a:effectLst/>
              </a:rPr>
              <a:t>Hourly demand against average trip distance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Sheet1!$C$2</c:f>
              <c:strCache>
                <c:ptCount val="1"/>
                <c:pt idx="0">
                  <c:v>num_trips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Sheet1!$C$3:$C$26</c:f>
              <c:numCache>
                <c:formatCode>General</c:formatCode>
                <c:ptCount val="24"/>
                <c:pt idx="0">
                  <c:v>955228</c:v>
                </c:pt>
                <c:pt idx="1">
                  <c:v>624560</c:v>
                </c:pt>
                <c:pt idx="2">
                  <c:v>406150</c:v>
                </c:pt>
                <c:pt idx="3">
                  <c:v>260192</c:v>
                </c:pt>
                <c:pt idx="4">
                  <c:v>166992</c:v>
                </c:pt>
                <c:pt idx="5">
                  <c:v>196286</c:v>
                </c:pt>
                <c:pt idx="6">
                  <c:v>458928</c:v>
                </c:pt>
                <c:pt idx="7">
                  <c:v>927607</c:v>
                </c:pt>
                <c:pt idx="8">
                  <c:v>1302020</c:v>
                </c:pt>
                <c:pt idx="9">
                  <c:v>1508857</c:v>
                </c:pt>
                <c:pt idx="10">
                  <c:v>1664578</c:v>
                </c:pt>
                <c:pt idx="11">
                  <c:v>1807500</c:v>
                </c:pt>
                <c:pt idx="12">
                  <c:v>1961437</c:v>
                </c:pt>
                <c:pt idx="13">
                  <c:v>2033903</c:v>
                </c:pt>
                <c:pt idx="14">
                  <c:v>2183976</c:v>
                </c:pt>
                <c:pt idx="15">
                  <c:v>2251369</c:v>
                </c:pt>
                <c:pt idx="16">
                  <c:v>2284810</c:v>
                </c:pt>
                <c:pt idx="17">
                  <c:v>2457232</c:v>
                </c:pt>
                <c:pt idx="18">
                  <c:v>2557789</c:v>
                </c:pt>
                <c:pt idx="19">
                  <c:v>2255054</c:v>
                </c:pt>
                <c:pt idx="20">
                  <c:v>2045007</c:v>
                </c:pt>
                <c:pt idx="21">
                  <c:v>2068342</c:v>
                </c:pt>
                <c:pt idx="22">
                  <c:v>1859290</c:v>
                </c:pt>
                <c:pt idx="23">
                  <c:v>1399224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1C-054E-9551-4FE109723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004543"/>
        <c:axId val="365004095"/>
      </c:barChart>
      <c:lineChart>
        <c:grouping val="standard"/>
        <c:varyColors val="0"/>
        <c:ser>
          <c:idx val="2"/>
          <c:order val="1"/>
          <c:tx>
            <c:strRef>
              <c:f>Sheet1!$D$2</c:f>
              <c:strCache>
                <c:ptCount val="1"/>
                <c:pt idx="0">
                  <c:v>avg_distance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Sheet1!$D$3:$D$26</c:f>
              <c:numCache>
                <c:formatCode>General</c:formatCode>
                <c:ptCount val="24"/>
                <c:pt idx="0">
                  <c:v>4.0199999999999996</c:v>
                </c:pt>
                <c:pt idx="1">
                  <c:v>3.49</c:v>
                </c:pt>
                <c:pt idx="2">
                  <c:v>3.1</c:v>
                </c:pt>
                <c:pt idx="3">
                  <c:v>3.39</c:v>
                </c:pt>
                <c:pt idx="4">
                  <c:v>4.96</c:v>
                </c:pt>
                <c:pt idx="5">
                  <c:v>8.48</c:v>
                </c:pt>
                <c:pt idx="6">
                  <c:v>5.35</c:v>
                </c:pt>
                <c:pt idx="7">
                  <c:v>4.22</c:v>
                </c:pt>
                <c:pt idx="8">
                  <c:v>3.35</c:v>
                </c:pt>
                <c:pt idx="9">
                  <c:v>3.41</c:v>
                </c:pt>
                <c:pt idx="10">
                  <c:v>3.53</c:v>
                </c:pt>
                <c:pt idx="11">
                  <c:v>3.15</c:v>
                </c:pt>
                <c:pt idx="12">
                  <c:v>3.25</c:v>
                </c:pt>
                <c:pt idx="13">
                  <c:v>3.49</c:v>
                </c:pt>
                <c:pt idx="14">
                  <c:v>3.68</c:v>
                </c:pt>
                <c:pt idx="15">
                  <c:v>3.6</c:v>
                </c:pt>
                <c:pt idx="16">
                  <c:v>3.66</c:v>
                </c:pt>
                <c:pt idx="17">
                  <c:v>3.29</c:v>
                </c:pt>
                <c:pt idx="18">
                  <c:v>3.08</c:v>
                </c:pt>
                <c:pt idx="19">
                  <c:v>3.31</c:v>
                </c:pt>
                <c:pt idx="20">
                  <c:v>3.57</c:v>
                </c:pt>
                <c:pt idx="21">
                  <c:v>3.51</c:v>
                </c:pt>
                <c:pt idx="22">
                  <c:v>3.67</c:v>
                </c:pt>
                <c:pt idx="23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C-054E-9551-4FE109723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6114111"/>
        <c:axId val="716116351"/>
      </c:lineChart>
      <c:catAx>
        <c:axId val="716114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716116351"/>
        <c:crosses val="autoZero"/>
        <c:auto val="1"/>
        <c:lblAlgn val="ctr"/>
        <c:lblOffset val="100"/>
        <c:noMultiLvlLbl val="0"/>
      </c:catAx>
      <c:valAx>
        <c:axId val="71611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716114111"/>
        <c:crosses val="autoZero"/>
        <c:crossBetween val="between"/>
      </c:valAx>
      <c:valAx>
        <c:axId val="3650040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365004543"/>
        <c:crosses val="max"/>
        <c:crossBetween val="between"/>
      </c:valAx>
      <c:catAx>
        <c:axId val="365004543"/>
        <c:scaling>
          <c:orientation val="minMax"/>
        </c:scaling>
        <c:delete val="1"/>
        <c:axPos val="b"/>
        <c:majorTickMark val="out"/>
        <c:minorTickMark val="none"/>
        <c:tickLblPos val="nextTo"/>
        <c:crossAx val="36500409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 taxi project 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Sheet4!$A$2:$A$6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Sheet4!$B$2:$B$6</c:f>
              <c:numCache>
                <c:formatCode>General</c:formatCode>
                <c:ptCount val="4"/>
                <c:pt idx="0">
                  <c:v>29875818</c:v>
                </c:pt>
                <c:pt idx="1">
                  <c:v>5219199</c:v>
                </c:pt>
                <c:pt idx="2">
                  <c:v>149721</c:v>
                </c:pt>
                <c:pt idx="3">
                  <c:v>384317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D0-934D-85F4-A6561576A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7067967"/>
        <c:axId val="365022719"/>
      </c:barChart>
      <c:catAx>
        <c:axId val="68706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365022719"/>
        <c:crosses val="autoZero"/>
        <c:auto val="1"/>
        <c:lblAlgn val="ctr"/>
        <c:lblOffset val="100"/>
        <c:noMultiLvlLbl val="0"/>
      </c:catAx>
      <c:valAx>
        <c:axId val="36502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68706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4</xdr:row>
      <xdr:rowOff>12700</xdr:rowOff>
    </xdr:from>
    <xdr:to>
      <xdr:col>15</xdr:col>
      <xdr:colOff>25400</xdr:colOff>
      <xdr:row>23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3EA86-06A7-A5B8-8FE6-39B04EAFC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12700</xdr:colOff>
      <xdr:row>4</xdr:row>
      <xdr:rowOff>12700</xdr:rowOff>
    </xdr:from>
    <xdr:to>
      <xdr:col>22</xdr:col>
      <xdr:colOff>12700</xdr:colOff>
      <xdr:row>23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8E0F86-84A9-2A30-5005-F29AAE640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29</xdr:row>
      <xdr:rowOff>19050</xdr:rowOff>
    </xdr:from>
    <xdr:to>
      <xdr:col>15</xdr:col>
      <xdr:colOff>12700</xdr:colOff>
      <xdr:row>48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B31A8E-C132-118C-CDBD-9C4A81FFE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25400</xdr:colOff>
      <xdr:row>29</xdr:row>
      <xdr:rowOff>0</xdr:rowOff>
    </xdr:from>
    <xdr:to>
      <xdr:col>22</xdr:col>
      <xdr:colOff>0</xdr:colOff>
      <xdr:row>48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D5CA705-09F0-D942-9425-DE16C1029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47254</xdr:colOff>
      <xdr:row>52</xdr:row>
      <xdr:rowOff>16539</xdr:rowOff>
    </xdr:from>
    <xdr:to>
      <xdr:col>15</xdr:col>
      <xdr:colOff>29534</xdr:colOff>
      <xdr:row>71</xdr:row>
      <xdr:rowOff>14767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DC48319-6DA3-BE00-A413-72567FCE9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29535</xdr:colOff>
      <xdr:row>52</xdr:row>
      <xdr:rowOff>44302</xdr:rowOff>
    </xdr:from>
    <xdr:to>
      <xdr:col>22</xdr:col>
      <xdr:colOff>14766</xdr:colOff>
      <xdr:row>70</xdr:row>
      <xdr:rowOff>206743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8CA882A-2F0E-81D5-6274-B2B2667EE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0</xdr:colOff>
      <xdr:row>3</xdr:row>
      <xdr:rowOff>196850</xdr:rowOff>
    </xdr:from>
    <xdr:to>
      <xdr:col>28</xdr:col>
      <xdr:colOff>800100</xdr:colOff>
      <xdr:row>22</xdr:row>
      <xdr:rowOff>152400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63A859C-37D1-7F20-53C2-F2424A074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482600</xdr:colOff>
      <xdr:row>31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3D86F7-E094-99E8-C3BD-D9407FFC6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oardo maira" refreshedDate="46216.609415624996" createdVersion="8" refreshedVersion="8" minRefreshableVersion="3" recordCount="4" xr:uid="{0F04B978-2DF2-644F-8FC3-76EFCA938E75}">
  <cacheSource type="worksheet">
    <worksheetSource ref="B45:G49" sheet="Sheet1"/>
  </cacheSource>
  <cacheFields count="6">
    <cacheField name="payment_type" numFmtId="0">
      <sharedItems containsSemiMixedTypes="0" containsString="0" containsNumber="1" containsInteger="1" minValue="1" maxValue="4" count="4">
        <n v="1"/>
        <n v="2"/>
        <n v="4"/>
        <n v="3"/>
      </sharedItems>
    </cacheField>
    <cacheField name="num_trips" numFmtId="0">
      <sharedItems containsSemiMixedTypes="0" containsString="0" containsNumber="1" containsInteger="1" minValue="149721" maxValue="29875818"/>
    </cacheField>
    <cacheField name="avg_fare" numFmtId="0">
      <sharedItems/>
    </cacheField>
    <cacheField name="avg_tip" numFmtId="0">
      <sharedItems containsMixedTypes="1" containsNumber="1" containsInteger="1" minValue="0" maxValue="0"/>
    </cacheField>
    <cacheField name="avg_total" numFmtId="0">
      <sharedItems/>
    </cacheField>
    <cacheField name="avg_tip_pct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9875818"/>
    <s v="19.75"/>
    <s v="4.36"/>
    <s v="29.76"/>
    <s v="25.1"/>
  </r>
  <r>
    <x v="1"/>
    <n v="5219199"/>
    <s v="19.65"/>
    <n v="0"/>
    <s v="24.97"/>
    <n v="0"/>
  </r>
  <r>
    <x v="2"/>
    <n v="384317"/>
    <s v="22.3"/>
    <s v="0.01"/>
    <s v="27.95"/>
    <s v="0.06"/>
  </r>
  <r>
    <x v="3"/>
    <n v="149721"/>
    <s v="22.15"/>
    <s v="0.01"/>
    <s v="27.48"/>
    <s v="0.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B58E6-A5AC-FD4E-B4BE-A627F6BA93E7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6" firstHeaderRow="1" firstDataRow="1" firstDataCol="1"/>
  <pivotFields count="6">
    <pivotField axis="axisRow" showAll="0">
      <items count="5">
        <item x="0"/>
        <item x="1"/>
        <item x="3"/>
        <item x="2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um_trips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2F0E-03EB-9848-883C-97267674CCCC}">
  <dimension ref="B2:H75"/>
  <sheetViews>
    <sheetView tabSelected="1" topLeftCell="A39" workbookViewId="0">
      <selection activeCell="U51" sqref="U51"/>
    </sheetView>
  </sheetViews>
  <sheetFormatPr baseColWidth="10" defaultRowHeight="16" x14ac:dyDescent="0.2"/>
  <cols>
    <col min="2" max="2" width="12.5" bestFit="1" customWidth="1"/>
    <col min="3" max="3" width="9.1640625" bestFit="1" customWidth="1"/>
    <col min="4" max="5" width="15.1640625" bestFit="1" customWidth="1"/>
  </cols>
  <sheetData>
    <row r="2" spans="2:4" x14ac:dyDescent="0.2">
      <c r="B2" s="3" t="s">
        <v>0</v>
      </c>
      <c r="C2" s="3" t="s">
        <v>1</v>
      </c>
      <c r="D2" s="3" t="s">
        <v>2</v>
      </c>
    </row>
    <row r="3" spans="2:4" x14ac:dyDescent="0.2">
      <c r="B3" s="3">
        <v>0</v>
      </c>
      <c r="C3" s="4">
        <v>955228</v>
      </c>
      <c r="D3" s="4">
        <v>4.0199999999999996</v>
      </c>
    </row>
    <row r="4" spans="2:4" x14ac:dyDescent="0.2">
      <c r="B4" s="3">
        <v>1</v>
      </c>
      <c r="C4" s="4">
        <v>624560</v>
      </c>
      <c r="D4" s="4">
        <v>3.49</v>
      </c>
    </row>
    <row r="5" spans="2:4" x14ac:dyDescent="0.2">
      <c r="B5" s="3">
        <v>2</v>
      </c>
      <c r="C5" s="4">
        <v>406150</v>
      </c>
      <c r="D5" s="4">
        <v>3.1</v>
      </c>
    </row>
    <row r="6" spans="2:4" x14ac:dyDescent="0.2">
      <c r="B6" s="3">
        <v>3</v>
      </c>
      <c r="C6" s="4">
        <v>260192</v>
      </c>
      <c r="D6" s="4">
        <v>3.39</v>
      </c>
    </row>
    <row r="7" spans="2:4" x14ac:dyDescent="0.2">
      <c r="B7" s="3">
        <v>4</v>
      </c>
      <c r="C7" s="4">
        <v>166992</v>
      </c>
      <c r="D7" s="4">
        <v>4.96</v>
      </c>
    </row>
    <row r="8" spans="2:4" x14ac:dyDescent="0.2">
      <c r="B8" s="3">
        <v>5</v>
      </c>
      <c r="C8" s="4">
        <v>196286</v>
      </c>
      <c r="D8" s="4">
        <v>8.48</v>
      </c>
    </row>
    <row r="9" spans="2:4" x14ac:dyDescent="0.2">
      <c r="B9" s="3">
        <v>6</v>
      </c>
      <c r="C9" s="4">
        <v>458928</v>
      </c>
      <c r="D9" s="4">
        <v>5.35</v>
      </c>
    </row>
    <row r="10" spans="2:4" x14ac:dyDescent="0.2">
      <c r="B10" s="3">
        <v>7</v>
      </c>
      <c r="C10" s="4">
        <v>927607</v>
      </c>
      <c r="D10" s="4">
        <v>4.22</v>
      </c>
    </row>
    <row r="11" spans="2:4" x14ac:dyDescent="0.2">
      <c r="B11" s="3">
        <v>8</v>
      </c>
      <c r="C11" s="4">
        <v>1302020</v>
      </c>
      <c r="D11" s="4">
        <v>3.35</v>
      </c>
    </row>
    <row r="12" spans="2:4" x14ac:dyDescent="0.2">
      <c r="B12" s="3">
        <v>9</v>
      </c>
      <c r="C12" s="4">
        <v>1508857</v>
      </c>
      <c r="D12" s="4">
        <v>3.41</v>
      </c>
    </row>
    <row r="13" spans="2:4" x14ac:dyDescent="0.2">
      <c r="B13" s="3">
        <v>10</v>
      </c>
      <c r="C13" s="4">
        <v>1664578</v>
      </c>
      <c r="D13" s="4">
        <v>3.53</v>
      </c>
    </row>
    <row r="14" spans="2:4" x14ac:dyDescent="0.2">
      <c r="B14" s="3">
        <v>11</v>
      </c>
      <c r="C14" s="4">
        <v>1807500</v>
      </c>
      <c r="D14" s="4">
        <v>3.15</v>
      </c>
    </row>
    <row r="15" spans="2:4" x14ac:dyDescent="0.2">
      <c r="B15" s="3">
        <v>12</v>
      </c>
      <c r="C15" s="4">
        <v>1961437</v>
      </c>
      <c r="D15" s="4">
        <v>3.25</v>
      </c>
    </row>
    <row r="16" spans="2:4" x14ac:dyDescent="0.2">
      <c r="B16" s="3">
        <v>13</v>
      </c>
      <c r="C16" s="4">
        <v>2033903</v>
      </c>
      <c r="D16" s="4">
        <v>3.49</v>
      </c>
    </row>
    <row r="17" spans="2:5" x14ac:dyDescent="0.2">
      <c r="B17" s="3">
        <v>14</v>
      </c>
      <c r="C17" s="4">
        <v>2183976</v>
      </c>
      <c r="D17" s="4">
        <v>3.68</v>
      </c>
    </row>
    <row r="18" spans="2:5" x14ac:dyDescent="0.2">
      <c r="B18" s="3">
        <v>15</v>
      </c>
      <c r="C18" s="4">
        <v>2251369</v>
      </c>
      <c r="D18" s="4">
        <v>3.6</v>
      </c>
    </row>
    <row r="19" spans="2:5" x14ac:dyDescent="0.2">
      <c r="B19" s="3">
        <v>16</v>
      </c>
      <c r="C19" s="4">
        <v>2284810</v>
      </c>
      <c r="D19" s="4">
        <v>3.66</v>
      </c>
    </row>
    <row r="20" spans="2:5" x14ac:dyDescent="0.2">
      <c r="B20" s="3">
        <v>17</v>
      </c>
      <c r="C20" s="4">
        <v>2457232</v>
      </c>
      <c r="D20" s="4">
        <v>3.29</v>
      </c>
    </row>
    <row r="21" spans="2:5" x14ac:dyDescent="0.2">
      <c r="B21" s="3">
        <v>18</v>
      </c>
      <c r="C21" s="4">
        <v>2557789</v>
      </c>
      <c r="D21" s="4">
        <v>3.08</v>
      </c>
    </row>
    <row r="22" spans="2:5" x14ac:dyDescent="0.2">
      <c r="B22" s="3">
        <v>19</v>
      </c>
      <c r="C22" s="4">
        <v>2255054</v>
      </c>
      <c r="D22" s="4">
        <v>3.31</v>
      </c>
    </row>
    <row r="23" spans="2:5" x14ac:dyDescent="0.2">
      <c r="B23" s="3">
        <v>20</v>
      </c>
      <c r="C23" s="4">
        <v>2045007</v>
      </c>
      <c r="D23" s="4">
        <v>3.57</v>
      </c>
    </row>
    <row r="24" spans="2:5" x14ac:dyDescent="0.2">
      <c r="B24" s="3">
        <v>21</v>
      </c>
      <c r="C24" s="4">
        <v>2068342</v>
      </c>
      <c r="D24" s="4">
        <v>3.51</v>
      </c>
    </row>
    <row r="25" spans="2:5" x14ac:dyDescent="0.2">
      <c r="B25" s="3">
        <v>22</v>
      </c>
      <c r="C25" s="4">
        <v>1859290</v>
      </c>
      <c r="D25" s="4">
        <v>3.67</v>
      </c>
    </row>
    <row r="26" spans="2:5" x14ac:dyDescent="0.2">
      <c r="B26" s="3">
        <v>23</v>
      </c>
      <c r="C26" s="4">
        <v>1399224</v>
      </c>
      <c r="D26" s="4">
        <v>4.0999999999999996</v>
      </c>
    </row>
    <row r="30" spans="2:5" x14ac:dyDescent="0.2">
      <c r="B30" s="3" t="s">
        <v>3</v>
      </c>
      <c r="C30" s="3" t="s">
        <v>1</v>
      </c>
      <c r="D30" s="3" t="s">
        <v>4</v>
      </c>
      <c r="E30" s="3" t="s">
        <v>5</v>
      </c>
    </row>
    <row r="31" spans="2:5" x14ac:dyDescent="0.2">
      <c r="B31" s="3">
        <v>1</v>
      </c>
      <c r="C31" s="4">
        <v>2724208</v>
      </c>
      <c r="D31" s="4" t="s">
        <v>6</v>
      </c>
      <c r="E31" s="4" t="s">
        <v>6</v>
      </c>
    </row>
    <row r="32" spans="2:5" x14ac:dyDescent="0.2">
      <c r="B32" s="3">
        <v>2</v>
      </c>
      <c r="C32" s="4">
        <v>2720038</v>
      </c>
      <c r="D32" s="4">
        <v>2724208</v>
      </c>
      <c r="E32" s="4" t="s">
        <v>7</v>
      </c>
    </row>
    <row r="33" spans="2:8" x14ac:dyDescent="0.2">
      <c r="B33" s="3">
        <v>3</v>
      </c>
      <c r="C33" s="4">
        <v>3036608</v>
      </c>
      <c r="D33" s="4">
        <v>2720038</v>
      </c>
      <c r="E33" s="4" t="s">
        <v>8</v>
      </c>
    </row>
    <row r="34" spans="2:8" x14ac:dyDescent="0.2">
      <c r="B34" s="3">
        <v>4</v>
      </c>
      <c r="C34" s="4">
        <v>2988310</v>
      </c>
      <c r="D34" s="4">
        <v>3036608</v>
      </c>
      <c r="E34" s="4" t="s">
        <v>9</v>
      </c>
    </row>
    <row r="35" spans="2:8" x14ac:dyDescent="0.2">
      <c r="B35" s="3">
        <v>5</v>
      </c>
      <c r="C35" s="4">
        <v>3193314</v>
      </c>
      <c r="D35" s="4">
        <v>2988310</v>
      </c>
      <c r="E35" s="4" t="s">
        <v>10</v>
      </c>
    </row>
    <row r="36" spans="2:8" x14ac:dyDescent="0.2">
      <c r="B36" s="3">
        <v>6</v>
      </c>
      <c r="C36" s="4">
        <v>3007322</v>
      </c>
      <c r="D36" s="4">
        <v>3193314</v>
      </c>
      <c r="E36" s="4" t="s">
        <v>11</v>
      </c>
    </row>
    <row r="37" spans="2:8" x14ac:dyDescent="0.2">
      <c r="B37" s="3">
        <v>7</v>
      </c>
      <c r="C37" s="4">
        <v>2683801</v>
      </c>
      <c r="D37" s="4">
        <v>3007322</v>
      </c>
      <c r="E37" s="4" t="s">
        <v>12</v>
      </c>
    </row>
    <row r="38" spans="2:8" x14ac:dyDescent="0.2">
      <c r="B38" s="3">
        <v>8</v>
      </c>
      <c r="C38" s="4">
        <v>2604494</v>
      </c>
      <c r="D38" s="4">
        <v>2683801</v>
      </c>
      <c r="E38" s="4" t="s">
        <v>13</v>
      </c>
    </row>
    <row r="39" spans="2:8" x14ac:dyDescent="0.2">
      <c r="B39" s="3">
        <v>9</v>
      </c>
      <c r="C39" s="4">
        <v>3025284</v>
      </c>
      <c r="D39" s="4">
        <v>2604494</v>
      </c>
      <c r="E39" s="4" t="s">
        <v>14</v>
      </c>
    </row>
    <row r="40" spans="2:8" x14ac:dyDescent="0.2">
      <c r="B40" s="3">
        <v>10</v>
      </c>
      <c r="C40" s="4">
        <v>3303050</v>
      </c>
      <c r="D40" s="4">
        <v>3025284</v>
      </c>
      <c r="E40" s="4" t="s">
        <v>15</v>
      </c>
    </row>
    <row r="41" spans="2:8" x14ac:dyDescent="0.2">
      <c r="B41" s="3">
        <v>11</v>
      </c>
      <c r="C41" s="4">
        <v>3148301</v>
      </c>
      <c r="D41" s="4">
        <v>3303050</v>
      </c>
      <c r="E41" s="4" t="s">
        <v>16</v>
      </c>
    </row>
    <row r="42" spans="2:8" x14ac:dyDescent="0.2">
      <c r="B42" s="3">
        <v>12</v>
      </c>
      <c r="C42" s="4">
        <v>3201601</v>
      </c>
      <c r="D42" s="4">
        <v>3148301</v>
      </c>
      <c r="E42" s="4" t="s">
        <v>17</v>
      </c>
    </row>
    <row r="45" spans="2:8" x14ac:dyDescent="0.2">
      <c r="B45" s="1" t="s">
        <v>20</v>
      </c>
      <c r="C45" s="1" t="s">
        <v>1</v>
      </c>
      <c r="D45" s="1" t="s">
        <v>21</v>
      </c>
      <c r="E45" s="1" t="s">
        <v>22</v>
      </c>
      <c r="F45" s="1" t="s">
        <v>23</v>
      </c>
      <c r="G45" s="1" t="s">
        <v>24</v>
      </c>
      <c r="H45" s="1" t="s">
        <v>51</v>
      </c>
    </row>
    <row r="46" spans="2:8" x14ac:dyDescent="0.2">
      <c r="B46" s="1">
        <v>1</v>
      </c>
      <c r="C46" s="2">
        <v>29875818</v>
      </c>
      <c r="D46" s="2">
        <v>19.75</v>
      </c>
      <c r="E46" s="2">
        <v>4.3600000000000003</v>
      </c>
      <c r="F46" s="2">
        <v>29.76</v>
      </c>
      <c r="G46" s="2">
        <v>25.1</v>
      </c>
      <c r="H46" t="s">
        <v>48</v>
      </c>
    </row>
    <row r="47" spans="2:8" x14ac:dyDescent="0.2">
      <c r="B47" s="1">
        <v>2</v>
      </c>
      <c r="C47" s="2">
        <v>5219199</v>
      </c>
      <c r="D47" s="2">
        <v>19.649999999999999</v>
      </c>
      <c r="E47" s="2">
        <v>0</v>
      </c>
      <c r="F47" s="2">
        <v>24.97</v>
      </c>
      <c r="G47" s="2">
        <v>0</v>
      </c>
      <c r="H47" t="s">
        <v>47</v>
      </c>
    </row>
    <row r="48" spans="2:8" x14ac:dyDescent="0.2">
      <c r="B48" s="1">
        <v>4</v>
      </c>
      <c r="C48" s="2">
        <v>384317</v>
      </c>
      <c r="D48" s="2">
        <v>22.3</v>
      </c>
      <c r="E48" s="2">
        <v>0.01</v>
      </c>
      <c r="F48" s="2">
        <v>27.95</v>
      </c>
      <c r="G48" s="2">
        <v>0.06</v>
      </c>
      <c r="H48" t="s">
        <v>49</v>
      </c>
    </row>
    <row r="49" spans="2:8" x14ac:dyDescent="0.2">
      <c r="B49" s="1">
        <v>3</v>
      </c>
      <c r="C49" s="2">
        <v>149721</v>
      </c>
      <c r="D49" s="2">
        <v>22.15</v>
      </c>
      <c r="E49" s="2">
        <v>0.01</v>
      </c>
      <c r="F49" s="2">
        <v>27.48</v>
      </c>
      <c r="G49" s="2">
        <v>0.06</v>
      </c>
      <c r="H49" t="s">
        <v>50</v>
      </c>
    </row>
    <row r="54" spans="2:8" x14ac:dyDescent="0.2">
      <c r="B54" s="1" t="s">
        <v>26</v>
      </c>
      <c r="C54" s="1" t="s">
        <v>27</v>
      </c>
      <c r="D54" s="1" t="s">
        <v>1</v>
      </c>
    </row>
    <row r="55" spans="2:8" x14ac:dyDescent="0.2">
      <c r="B55" s="1" t="s">
        <v>28</v>
      </c>
      <c r="C55" s="2" t="s">
        <v>29</v>
      </c>
      <c r="D55" s="2">
        <v>1857707</v>
      </c>
    </row>
    <row r="56" spans="2:8" x14ac:dyDescent="0.2">
      <c r="B56" s="1" t="s">
        <v>30</v>
      </c>
      <c r="C56" s="2" t="s">
        <v>31</v>
      </c>
      <c r="D56" s="2">
        <v>1767053</v>
      </c>
    </row>
    <row r="57" spans="2:8" x14ac:dyDescent="0.2">
      <c r="B57" s="1" t="s">
        <v>32</v>
      </c>
      <c r="C57" s="2" t="s">
        <v>31</v>
      </c>
      <c r="D57" s="2">
        <v>1737998</v>
      </c>
    </row>
    <row r="58" spans="2:8" x14ac:dyDescent="0.2">
      <c r="B58" s="1" t="s">
        <v>33</v>
      </c>
      <c r="C58" s="2" t="s">
        <v>31</v>
      </c>
      <c r="D58" s="2">
        <v>1557939</v>
      </c>
    </row>
    <row r="59" spans="2:8" x14ac:dyDescent="0.2">
      <c r="B59" s="1" t="s">
        <v>34</v>
      </c>
      <c r="C59" s="2" t="s">
        <v>31</v>
      </c>
      <c r="D59" s="2">
        <v>1310167</v>
      </c>
    </row>
    <row r="60" spans="2:8" x14ac:dyDescent="0.2">
      <c r="B60" s="1" t="s">
        <v>35</v>
      </c>
      <c r="C60" s="2" t="s">
        <v>31</v>
      </c>
      <c r="D60" s="2">
        <v>1269556</v>
      </c>
    </row>
    <row r="61" spans="2:8" x14ac:dyDescent="0.2">
      <c r="B61" s="1" t="s">
        <v>36</v>
      </c>
      <c r="C61" s="2" t="s">
        <v>31</v>
      </c>
      <c r="D61" s="2">
        <v>1251091</v>
      </c>
    </row>
    <row r="62" spans="2:8" x14ac:dyDescent="0.2">
      <c r="B62" s="1" t="s">
        <v>37</v>
      </c>
      <c r="C62" s="2" t="s">
        <v>29</v>
      </c>
      <c r="D62" s="2">
        <v>1245714</v>
      </c>
    </row>
    <row r="63" spans="2:8" x14ac:dyDescent="0.2">
      <c r="B63" s="1" t="s">
        <v>38</v>
      </c>
      <c r="C63" s="2" t="s">
        <v>31</v>
      </c>
      <c r="D63" s="2">
        <v>1182879</v>
      </c>
    </row>
    <row r="64" spans="2:8" x14ac:dyDescent="0.2">
      <c r="B64" s="1" t="s">
        <v>39</v>
      </c>
      <c r="C64" s="2" t="s">
        <v>31</v>
      </c>
      <c r="D64" s="2">
        <v>1063503</v>
      </c>
    </row>
    <row r="67" spans="2:3" x14ac:dyDescent="0.2">
      <c r="B67" s="1" t="s">
        <v>27</v>
      </c>
      <c r="C67" s="1" t="s">
        <v>40</v>
      </c>
    </row>
    <row r="68" spans="2:3" x14ac:dyDescent="0.2">
      <c r="B68" s="1" t="s">
        <v>31</v>
      </c>
      <c r="C68" s="2">
        <v>88.86</v>
      </c>
    </row>
    <row r="69" spans="2:3" x14ac:dyDescent="0.2">
      <c r="B69" s="1" t="s">
        <v>29</v>
      </c>
      <c r="C69" s="2">
        <v>9.7899999999999991</v>
      </c>
    </row>
    <row r="70" spans="2:3" x14ac:dyDescent="0.2">
      <c r="B70" s="1" t="s">
        <v>41</v>
      </c>
      <c r="C70" s="2">
        <v>0.84</v>
      </c>
    </row>
    <row r="71" spans="2:3" x14ac:dyDescent="0.2">
      <c r="B71" s="1" t="s">
        <v>42</v>
      </c>
      <c r="C71" s="2">
        <v>0.3</v>
      </c>
    </row>
    <row r="72" spans="2:3" x14ac:dyDescent="0.2">
      <c r="B72" s="1" t="s">
        <v>43</v>
      </c>
      <c r="C72" s="2">
        <v>0.19</v>
      </c>
    </row>
    <row r="73" spans="2:3" x14ac:dyDescent="0.2">
      <c r="B73" s="1" t="s">
        <v>44</v>
      </c>
      <c r="C73" s="2">
        <v>0.02</v>
      </c>
    </row>
    <row r="74" spans="2:3" x14ac:dyDescent="0.2">
      <c r="B74" s="1" t="s">
        <v>45</v>
      </c>
      <c r="C74" s="2">
        <v>0</v>
      </c>
    </row>
    <row r="75" spans="2:3" x14ac:dyDescent="0.2">
      <c r="B75" s="1" t="s">
        <v>46</v>
      </c>
      <c r="C75" s="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CF93-A6E6-BC4D-B5A5-EB1F033B9281}">
  <dimension ref="A1:B6"/>
  <sheetViews>
    <sheetView workbookViewId="0">
      <selection activeCell="H48" sqref="H48"/>
    </sheetView>
  </sheetViews>
  <sheetFormatPr baseColWidth="10" defaultRowHeight="16" x14ac:dyDescent="0.2"/>
  <cols>
    <col min="1" max="1" width="13" bestFit="1" customWidth="1"/>
    <col min="2" max="2" width="15.5" bestFit="1" customWidth="1"/>
  </cols>
  <sheetData>
    <row r="1" spans="1:2" x14ac:dyDescent="0.2">
      <c r="A1" s="5" t="s">
        <v>18</v>
      </c>
      <c r="B1" t="s">
        <v>25</v>
      </c>
    </row>
    <row r="2" spans="1:2" x14ac:dyDescent="0.2">
      <c r="A2" s="6">
        <v>1</v>
      </c>
      <c r="B2" s="7">
        <v>29875818</v>
      </c>
    </row>
    <row r="3" spans="1:2" x14ac:dyDescent="0.2">
      <c r="A3" s="6">
        <v>2</v>
      </c>
      <c r="B3" s="7">
        <v>5219199</v>
      </c>
    </row>
    <row r="4" spans="1:2" x14ac:dyDescent="0.2">
      <c r="A4" s="6">
        <v>3</v>
      </c>
      <c r="B4" s="7">
        <v>149721</v>
      </c>
    </row>
    <row r="5" spans="1:2" x14ac:dyDescent="0.2">
      <c r="A5" s="6">
        <v>4</v>
      </c>
      <c r="B5" s="7">
        <v>384317</v>
      </c>
    </row>
    <row r="6" spans="1:2" x14ac:dyDescent="0.2">
      <c r="A6" s="6" t="s">
        <v>19</v>
      </c>
      <c r="B6" s="7">
        <v>35629055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Maira</dc:creator>
  <cp:lastModifiedBy>Edoardo Maira</cp:lastModifiedBy>
  <dcterms:created xsi:type="dcterms:W3CDTF">2026-07-13T12:19:21Z</dcterms:created>
  <dcterms:modified xsi:type="dcterms:W3CDTF">2026-07-13T14:27:17Z</dcterms:modified>
</cp:coreProperties>
</file>